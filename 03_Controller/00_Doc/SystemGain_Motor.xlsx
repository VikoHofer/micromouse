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elias\Desktop\FH_Hagenberg\4.Semester\01_PRO4\04_Reglerdesign\00_Dokumente\"/>
    </mc:Choice>
  </mc:AlternateContent>
  <xr:revisionPtr revIDLastSave="0" documentId="13_ncr:1_{A623EB95-205E-4166-8FB9-FCE272DB40C5}" xr6:coauthVersionLast="47" xr6:coauthVersionMax="47" xr10:uidLastSave="{00000000-0000-0000-0000-000000000000}"/>
  <bookViews>
    <workbookView xWindow="-30210" yWindow="3195" windowWidth="28800" windowHeight="1708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G36" i="1"/>
</calcChain>
</file>

<file path=xl/sharedStrings.xml><?xml version="1.0" encoding="utf-8"?>
<sst xmlns="http://schemas.openxmlformats.org/spreadsheetml/2006/main" count="16" uniqueCount="16">
  <si>
    <t>PWM[V]</t>
  </si>
  <si>
    <t>0V (0 PWM)</t>
  </si>
  <si>
    <t>1V (51 PWM)</t>
  </si>
  <si>
    <t>2V (102 PWM)</t>
  </si>
  <si>
    <t>3V (153 PWM)</t>
  </si>
  <si>
    <t>4V (204 PWM)</t>
  </si>
  <si>
    <t>5V (255 PWM)</t>
  </si>
  <si>
    <t>Speed[mm/s] / L</t>
  </si>
  <si>
    <t>0.4V (20 PWM)</t>
  </si>
  <si>
    <t>Kp</t>
  </si>
  <si>
    <t>Km</t>
  </si>
  <si>
    <t>B</t>
  </si>
  <si>
    <t>Tm [s]</t>
  </si>
  <si>
    <t>TD [s]</t>
  </si>
  <si>
    <t>Kd</t>
  </si>
  <si>
    <t>Km = 12.76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</si>
</sst>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Tabelle1!$C$4</c:f>
              <c:strCache>
                <c:ptCount val="1"/>
                <c:pt idx="0">
                  <c:v>Speed[mm/s] / 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Tabelle1!$B$5:$B$11</c:f>
              <c:strCache>
                <c:ptCount val="7"/>
                <c:pt idx="0">
                  <c:v>0V (0 PWM)</c:v>
                </c:pt>
                <c:pt idx="1">
                  <c:v>0.4V (20 PWM)</c:v>
                </c:pt>
                <c:pt idx="2">
                  <c:v>1V (51 PWM)</c:v>
                </c:pt>
                <c:pt idx="3">
                  <c:v>2V (102 PWM)</c:v>
                </c:pt>
                <c:pt idx="4">
                  <c:v>3V (153 PWM)</c:v>
                </c:pt>
                <c:pt idx="5">
                  <c:v>4V (204 PWM)</c:v>
                </c:pt>
                <c:pt idx="6">
                  <c:v>5V (255 PWM)</c:v>
                </c:pt>
              </c:strCache>
            </c:strRef>
          </c:cat>
          <c:val>
            <c:numRef>
              <c:f>Tabelle1!$C$5:$C$11</c:f>
              <c:numCache>
                <c:formatCode>General</c:formatCode>
                <c:ptCount val="7"/>
                <c:pt idx="0">
                  <c:v>0</c:v>
                </c:pt>
                <c:pt idx="1">
                  <c:v>156</c:v>
                </c:pt>
                <c:pt idx="2">
                  <c:v>732</c:v>
                </c:pt>
                <c:pt idx="3">
                  <c:v>1674</c:v>
                </c:pt>
                <c:pt idx="4">
                  <c:v>2564</c:v>
                </c:pt>
                <c:pt idx="5">
                  <c:v>3454</c:v>
                </c:pt>
                <c:pt idx="6">
                  <c:v>4345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A-4398-BFC0-E85016A2D131}"/>
            </c:ext>
          </c:extLst>
        </c:ser>
        <c:ser>
          <c:idx val="1"/>
          <c:order val="1"/>
          <c:tx>
            <c:strRef>
              <c:f>Tabelle1!$D$4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Tabelle1!$B$5:$B$11</c:f>
              <c:strCache>
                <c:ptCount val="7"/>
                <c:pt idx="0">
                  <c:v>0V (0 PWM)</c:v>
                </c:pt>
                <c:pt idx="1">
                  <c:v>0.4V (20 PWM)</c:v>
                </c:pt>
                <c:pt idx="2">
                  <c:v>1V (51 PWM)</c:v>
                </c:pt>
                <c:pt idx="3">
                  <c:v>2V (102 PWM)</c:v>
                </c:pt>
                <c:pt idx="4">
                  <c:v>3V (153 PWM)</c:v>
                </c:pt>
                <c:pt idx="5">
                  <c:v>4V (204 PWM)</c:v>
                </c:pt>
                <c:pt idx="6">
                  <c:v>5V (255 PWM)</c:v>
                </c:pt>
              </c:strCache>
            </c:strRef>
          </c:cat>
          <c:val>
            <c:numRef>
              <c:f>Tabelle1!$D$5:$D$11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2A-4398-BFC0-E85016A2D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49296"/>
        <c:axId val="121944976"/>
      </c:lineChart>
      <c:catAx>
        <c:axId val="12194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944976"/>
        <c:crosses val="autoZero"/>
        <c:auto val="1"/>
        <c:lblAlgn val="ctr"/>
        <c:lblOffset val="100"/>
        <c:noMultiLvlLbl val="0"/>
      </c:catAx>
      <c:valAx>
        <c:axId val="1219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94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0</xdr:row>
      <xdr:rowOff>157161</xdr:rowOff>
    </xdr:from>
    <xdr:to>
      <xdr:col>18</xdr:col>
      <xdr:colOff>476250</xdr:colOff>
      <xdr:row>25</xdr:row>
      <xdr:rowOff>180974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34B473D-8604-4BAC-AABF-7356C132C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36"/>
  <sheetViews>
    <sheetView tabSelected="1" topLeftCell="A4" workbookViewId="0">
      <selection activeCell="B14" sqref="B14"/>
    </sheetView>
  </sheetViews>
  <sheetFormatPr baseColWidth="10" defaultColWidth="9.140625" defaultRowHeight="15" x14ac:dyDescent="0.25"/>
  <cols>
    <col min="2" max="2" width="14.85546875" customWidth="1"/>
    <col min="3" max="3" width="16.28515625" customWidth="1"/>
    <col min="4" max="4" width="20" customWidth="1"/>
    <col min="6" max="6" width="31.42578125" customWidth="1"/>
    <col min="7" max="7" width="22.42578125" customWidth="1"/>
  </cols>
  <sheetData>
    <row r="4" spans="2:4" x14ac:dyDescent="0.25">
      <c r="B4" s="2" t="s">
        <v>0</v>
      </c>
      <c r="C4" s="2" t="s">
        <v>7</v>
      </c>
      <c r="D4" s="2"/>
    </row>
    <row r="5" spans="2:4" x14ac:dyDescent="0.25">
      <c r="B5" s="1" t="s">
        <v>1</v>
      </c>
      <c r="C5" s="1">
        <v>0</v>
      </c>
      <c r="D5" s="1"/>
    </row>
    <row r="6" spans="2:4" x14ac:dyDescent="0.25">
      <c r="B6" s="1" t="s">
        <v>8</v>
      </c>
      <c r="C6" s="1">
        <v>156</v>
      </c>
      <c r="D6" s="1"/>
    </row>
    <row r="7" spans="2:4" x14ac:dyDescent="0.25">
      <c r="B7" s="1" t="s">
        <v>2</v>
      </c>
      <c r="C7" s="1">
        <v>732</v>
      </c>
      <c r="D7" s="1"/>
    </row>
    <row r="8" spans="2:4" x14ac:dyDescent="0.25">
      <c r="B8" s="1" t="s">
        <v>3</v>
      </c>
      <c r="C8" s="1">
        <v>1674</v>
      </c>
      <c r="D8" s="1"/>
    </row>
    <row r="9" spans="2:4" x14ac:dyDescent="0.25">
      <c r="B9" s="1" t="s">
        <v>4</v>
      </c>
      <c r="C9" s="1">
        <v>2564</v>
      </c>
      <c r="D9" s="1"/>
    </row>
    <row r="10" spans="2:4" x14ac:dyDescent="0.25">
      <c r="B10" s="1" t="s">
        <v>5</v>
      </c>
      <c r="C10" s="1">
        <v>3454</v>
      </c>
      <c r="D10" s="1"/>
    </row>
    <row r="11" spans="2:4" x14ac:dyDescent="0.25">
      <c r="B11" s="1" t="s">
        <v>6</v>
      </c>
      <c r="C11" s="1">
        <v>4345</v>
      </c>
      <c r="D11" s="1"/>
    </row>
    <row r="14" spans="2:4" x14ac:dyDescent="0.25">
      <c r="B14" t="s">
        <v>15</v>
      </c>
    </row>
    <row r="35" spans="6:11" x14ac:dyDescent="0.25">
      <c r="F35" t="s">
        <v>14</v>
      </c>
      <c r="G35" t="s">
        <v>9</v>
      </c>
      <c r="H35" t="s">
        <v>10</v>
      </c>
      <c r="I35" t="s">
        <v>12</v>
      </c>
      <c r="J35" t="s">
        <v>11</v>
      </c>
      <c r="K35" t="s">
        <v>13</v>
      </c>
    </row>
    <row r="36" spans="6:11" x14ac:dyDescent="0.25">
      <c r="F36">
        <f>(8*I36-K36)/(K36*H36)</f>
        <v>1.5841455490578298E-2</v>
      </c>
      <c r="G36">
        <f>(16*I36)/(H36*J36*J36*K36*K36)</f>
        <v>0.41726396605171473</v>
      </c>
      <c r="H36">
        <v>950</v>
      </c>
      <c r="I36">
        <v>0.32500000000000001</v>
      </c>
      <c r="J36">
        <v>0.70699999999999996</v>
      </c>
      <c r="K36">
        <v>0.16200000000000001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Wollitzer</dc:creator>
  <cp:lastModifiedBy>Wollitzer Elias - s2210306025</cp:lastModifiedBy>
  <dcterms:created xsi:type="dcterms:W3CDTF">2015-06-05T18:19:34Z</dcterms:created>
  <dcterms:modified xsi:type="dcterms:W3CDTF">2024-10-22T08:15:09Z</dcterms:modified>
</cp:coreProperties>
</file>