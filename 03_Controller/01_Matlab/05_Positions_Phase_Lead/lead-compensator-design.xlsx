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elias\Desktop\FH_Hagenberg\02_Master\1.Semester\07_PRJ\00_GIT\micronextgen\06_Reglerdesign\01_Matlab\05_Positions_Phase_Lead\"/>
    </mc:Choice>
  </mc:AlternateContent>
  <xr:revisionPtr revIDLastSave="0" documentId="13_ncr:1_{F8382F85-8A73-47D0-B7C2-4C5A5B9E1278}" xr6:coauthVersionLast="47" xr6:coauthVersionMax="47" xr10:uidLastSave="{00000000-0000-0000-0000-000000000000}"/>
  <bookViews>
    <workbookView xWindow="-120" yWindow="-120" windowWidth="18240" windowHeight="28320" tabRatio="500" xr2:uid="{00000000-000D-0000-FFFF-FFFF00000000}"/>
  </bookViews>
  <sheets>
    <sheet name="Sheet1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3" i="1" l="1"/>
  <c r="C14" i="1"/>
  <c r="C15" i="1"/>
  <c r="C16" i="1"/>
  <c r="C17" i="1"/>
  <c r="C18" i="1"/>
  <c r="C19" i="1"/>
  <c r="C12" i="1"/>
  <c r="C20" i="1"/>
  <c r="C21" i="1"/>
  <c r="C22" i="1"/>
  <c r="C23" i="1"/>
  <c r="C26" i="1"/>
  <c r="C25" i="1"/>
  <c r="C24" i="1"/>
</calcChain>
</file>

<file path=xl/sharedStrings.xml><?xml version="1.0" encoding="utf-8"?>
<sst xmlns="http://schemas.openxmlformats.org/spreadsheetml/2006/main" count="51" uniqueCount="47">
  <si>
    <t>Compensated system bandwidth (1.8/rise time?)</t>
    <phoneticPr fontId="2" type="noConversion"/>
  </si>
  <si>
    <t>System Gain at desired bandwidth</t>
    <phoneticPr fontId="2" type="noConversion"/>
  </si>
  <si>
    <t>Phase at Wc</t>
    <phoneticPr fontId="2" type="noConversion"/>
  </si>
  <si>
    <t>System phase lag at desired bandwidth</t>
    <phoneticPr fontId="2" type="noConversion"/>
  </si>
  <si>
    <t>Margin at Wc</t>
    <phoneticPr fontId="2" type="noConversion"/>
  </si>
  <si>
    <t>Available margin from system</t>
    <phoneticPr fontId="2" type="noConversion"/>
  </si>
  <si>
    <t>Required lead</t>
    <phoneticPr fontId="2" type="noConversion"/>
  </si>
  <si>
    <t>Phase lead required from compensator</t>
    <phoneticPr fontId="2" type="noConversion"/>
  </si>
  <si>
    <t>alpha</t>
    <phoneticPr fontId="2" type="noConversion"/>
  </si>
  <si>
    <t>Used to calculate pole and zero time constants</t>
    <phoneticPr fontId="2" type="noConversion"/>
  </si>
  <si>
    <t>Tz</t>
    <phoneticPr fontId="2" type="noConversion"/>
  </si>
  <si>
    <t>Time constant for zero term</t>
    <phoneticPr fontId="2" type="noConversion"/>
  </si>
  <si>
    <t>Tp</t>
    <phoneticPr fontId="2" type="noConversion"/>
  </si>
  <si>
    <t>Time constant for pole term</t>
    <phoneticPr fontId="2" type="noConversion"/>
  </si>
  <si>
    <t>Filter Gain</t>
    <phoneticPr fontId="2" type="noConversion"/>
  </si>
  <si>
    <t>Compensator gain from pole and zero at desired bandwidth</t>
    <phoneticPr fontId="2" type="noConversion"/>
  </si>
  <si>
    <t>Kc</t>
    <phoneticPr fontId="2" type="noConversion"/>
  </si>
  <si>
    <t>Required additional compensator gain to restore unity</t>
    <phoneticPr fontId="2" type="noConversion"/>
  </si>
  <si>
    <t>K1</t>
    <phoneticPr fontId="2" type="noConversion"/>
  </si>
  <si>
    <t>Constant for digital filter</t>
    <phoneticPr fontId="2" type="noConversion"/>
  </si>
  <si>
    <t>K2</t>
    <phoneticPr fontId="2" type="noConversion"/>
  </si>
  <si>
    <t>K3</t>
    <phoneticPr fontId="2" type="noConversion"/>
  </si>
  <si>
    <t>K1(fp)</t>
    <phoneticPr fontId="2" type="noConversion"/>
  </si>
  <si>
    <t>Constant scaled by 256 to fixed point</t>
    <phoneticPr fontId="2" type="noConversion"/>
  </si>
  <si>
    <t>K2(fp)</t>
    <phoneticPr fontId="2" type="noConversion"/>
  </si>
  <si>
    <t>K3(fp)</t>
    <phoneticPr fontId="2" type="noConversion"/>
  </si>
  <si>
    <t>Compensator Equation</t>
    <phoneticPr fontId="2" type="noConversion"/>
  </si>
  <si>
    <t xml:space="preserve">Y(n) = K1 * E(n) - K2 * E(n-1) + K3 * Y(n-1) </t>
    <phoneticPr fontId="2" type="noConversion"/>
  </si>
  <si>
    <t>Lead Compensator Design</t>
    <phoneticPr fontId="2" type="noConversion"/>
  </si>
  <si>
    <t>E(n) = X(n)-X(n-1)</t>
    <phoneticPr fontId="2" type="noConversion"/>
  </si>
  <si>
    <t>X(n-1) = X(n)</t>
    <phoneticPr fontId="2" type="noConversion"/>
  </si>
  <si>
    <t>Mechanical Time constant of the system</t>
    <phoneticPr fontId="2" type="noConversion"/>
  </si>
  <si>
    <t>Control loop interval</t>
    <phoneticPr fontId="2" type="noConversion"/>
  </si>
  <si>
    <t>DC gain of the system to be controlled</t>
    <phoneticPr fontId="2" type="noConversion"/>
  </si>
  <si>
    <t>Phase margin determines overshoot</t>
    <phoneticPr fontId="2" type="noConversion"/>
  </si>
  <si>
    <t>Sample Time</t>
    <phoneticPr fontId="2" type="noConversion"/>
  </si>
  <si>
    <t>seconds</t>
    <phoneticPr fontId="2" type="noConversion"/>
  </si>
  <si>
    <t>Tm</t>
    <phoneticPr fontId="2" type="noConversion"/>
  </si>
  <si>
    <t>seconds</t>
    <phoneticPr fontId="2" type="noConversion"/>
  </si>
  <si>
    <t>Km</t>
    <phoneticPr fontId="2" type="noConversion"/>
  </si>
  <si>
    <t>System DC gain</t>
    <phoneticPr fontId="2" type="noConversion"/>
  </si>
  <si>
    <t>Phase Margin</t>
    <phoneticPr fontId="2" type="noConversion"/>
  </si>
  <si>
    <t>Desired phase margin</t>
    <phoneticPr fontId="2" type="noConversion"/>
  </si>
  <si>
    <t>Wc</t>
    <phoneticPr fontId="2" type="noConversion"/>
  </si>
  <si>
    <t>Desired bandwidth</t>
    <phoneticPr fontId="2" type="noConversion"/>
  </si>
  <si>
    <t>Gain at Wc</t>
    <phoneticPr fontId="2" type="noConversion"/>
  </si>
  <si>
    <t>Change only the yellow cells…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</si>
</sst>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0"/>
      <name val="Verdana"/>
    </font>
    <font>
      <b/>
      <sz val="10"/>
      <name val="Verdana"/>
    </font>
    <font>
      <sz val="8"/>
      <name val="Verdana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/>
    <xf numFmtId="0" fontId="0" fillId="3" borderId="0" xfId="0" applyFill="1"/>
    <xf numFmtId="2" fontId="0" fillId="2" borderId="0" xfId="0" applyNumberFormat="1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30"/>
  <sheetViews>
    <sheetView tabSelected="1" zoomScale="145" zoomScaleNormal="145" workbookViewId="0">
      <selection activeCell="C8" sqref="C8"/>
    </sheetView>
  </sheetViews>
  <sheetFormatPr baseColWidth="10" defaultRowHeight="12.75" x14ac:dyDescent="0.2"/>
  <cols>
    <col min="2" max="2" width="17.5" customWidth="1"/>
  </cols>
  <sheetData>
    <row r="2" spans="2:6" x14ac:dyDescent="0.2">
      <c r="B2" s="2" t="s">
        <v>28</v>
      </c>
    </row>
    <row r="3" spans="2:6" x14ac:dyDescent="0.2">
      <c r="B3" t="s">
        <v>46</v>
      </c>
    </row>
    <row r="4" spans="2:6" x14ac:dyDescent="0.2">
      <c r="B4" t="s">
        <v>35</v>
      </c>
      <c r="C4" s="3">
        <v>5.0000000000000001E-3</v>
      </c>
      <c r="D4" t="s">
        <v>36</v>
      </c>
      <c r="F4" t="s">
        <v>32</v>
      </c>
    </row>
    <row r="5" spans="2:6" x14ac:dyDescent="0.2">
      <c r="B5" t="s">
        <v>37</v>
      </c>
      <c r="C5" s="3">
        <v>0.26</v>
      </c>
      <c r="D5" t="s">
        <v>38</v>
      </c>
      <c r="F5" t="s">
        <v>31</v>
      </c>
    </row>
    <row r="6" spans="2:6" x14ac:dyDescent="0.2">
      <c r="B6" t="s">
        <v>39</v>
      </c>
      <c r="C6" s="5">
        <v>19.8</v>
      </c>
      <c r="D6" t="s">
        <v>40</v>
      </c>
      <c r="F6" t="s">
        <v>33</v>
      </c>
    </row>
    <row r="7" spans="2:6" x14ac:dyDescent="0.2">
      <c r="B7" t="s">
        <v>41</v>
      </c>
      <c r="C7" s="3">
        <v>80</v>
      </c>
      <c r="D7" t="s">
        <v>42</v>
      </c>
      <c r="F7" t="s">
        <v>34</v>
      </c>
    </row>
    <row r="8" spans="2:6" x14ac:dyDescent="0.2">
      <c r="B8" t="s">
        <v>43</v>
      </c>
      <c r="C8" s="3">
        <v>13</v>
      </c>
      <c r="D8" t="s">
        <v>44</v>
      </c>
      <c r="F8" t="s">
        <v>0</v>
      </c>
    </row>
    <row r="12" spans="2:6" x14ac:dyDescent="0.2">
      <c r="B12" t="s">
        <v>45</v>
      </c>
      <c r="C12" s="1">
        <f>$C$6/$C$8/SQRT(1+$C$8*$C$8*$C$5*$C$5)</f>
        <v>0.43209985988903321</v>
      </c>
      <c r="D12" t="s">
        <v>1</v>
      </c>
    </row>
    <row r="13" spans="2:6" x14ac:dyDescent="0.2">
      <c r="B13" t="s">
        <v>2</v>
      </c>
      <c r="C13" s="1">
        <f>-90-DEGREES(ATAN($C$8*$C$5)+$C$8*$C$4/2)</f>
        <v>-165.38084062284594</v>
      </c>
      <c r="D13" t="s">
        <v>3</v>
      </c>
    </row>
    <row r="14" spans="2:6" x14ac:dyDescent="0.2">
      <c r="B14" t="s">
        <v>4</v>
      </c>
      <c r="C14" s="1">
        <f>180+C13</f>
        <v>14.619159377154062</v>
      </c>
      <c r="D14" t="s">
        <v>5</v>
      </c>
    </row>
    <row r="15" spans="2:6" x14ac:dyDescent="0.2">
      <c r="B15" t="s">
        <v>6</v>
      </c>
      <c r="C15" s="1">
        <f>$C$7-C14</f>
        <v>65.380840622845938</v>
      </c>
      <c r="D15" t="s">
        <v>7</v>
      </c>
    </row>
    <row r="16" spans="2:6" x14ac:dyDescent="0.2">
      <c r="B16" t="s">
        <v>8</v>
      </c>
      <c r="C16" s="1">
        <f>(1+SIN(RADIANS(C15)))/(1-SIN(RADIANS(C15)))</f>
        <v>21.001439325096953</v>
      </c>
      <c r="D16" t="s">
        <v>9</v>
      </c>
    </row>
    <row r="17" spans="1:4" x14ac:dyDescent="0.2">
      <c r="B17" t="s">
        <v>10</v>
      </c>
      <c r="C17" s="1">
        <f>SQRT(C16)/$C$8</f>
        <v>0.35251790273138728</v>
      </c>
      <c r="D17" t="s">
        <v>11</v>
      </c>
    </row>
    <row r="18" spans="1:4" x14ac:dyDescent="0.2">
      <c r="B18" t="s">
        <v>12</v>
      </c>
      <c r="C18" s="1">
        <f>1/$C$8/SQRT(C16)</f>
        <v>1.6785416336209131E-2</v>
      </c>
      <c r="D18" t="s">
        <v>13</v>
      </c>
    </row>
    <row r="19" spans="1:4" x14ac:dyDescent="0.2">
      <c r="B19" t="s">
        <v>14</v>
      </c>
      <c r="C19" s="1">
        <f>SQRT(1+C17*C17*$C$8*$C$8)/SQRT(1+C18*C18*$C$8*$C$8)</f>
        <v>4.5827327355080341</v>
      </c>
      <c r="D19" t="s">
        <v>15</v>
      </c>
    </row>
    <row r="20" spans="1:4" x14ac:dyDescent="0.2">
      <c r="B20" t="s">
        <v>16</v>
      </c>
      <c r="C20" s="1">
        <f>1/(C19*C12)</f>
        <v>0.50499996095059363</v>
      </c>
      <c r="D20" t="s">
        <v>17</v>
      </c>
    </row>
    <row r="21" spans="1:4" x14ac:dyDescent="0.2">
      <c r="B21" t="s">
        <v>18</v>
      </c>
      <c r="C21" s="1">
        <f>C20*((2*C17/$C$4)+1)/((2*C18/$C$4)+1)</f>
        <v>9.296352429763175</v>
      </c>
      <c r="D21" t="s">
        <v>19</v>
      </c>
    </row>
    <row r="22" spans="1:4" x14ac:dyDescent="0.2">
      <c r="B22" t="s">
        <v>20</v>
      </c>
      <c r="C22" s="1">
        <f>C21*(2*C17/$C$4-1)/(2*C17/$C$4+1)</f>
        <v>9.1654244912248615</v>
      </c>
      <c r="D22" t="s">
        <v>19</v>
      </c>
    </row>
    <row r="23" spans="1:4" x14ac:dyDescent="0.2">
      <c r="B23" t="s">
        <v>21</v>
      </c>
      <c r="C23" s="1">
        <f>(2*C18/$C$4-1)/(2*C18/$C$4+1)</f>
        <v>0.74073673532200068</v>
      </c>
      <c r="D23" t="s">
        <v>19</v>
      </c>
    </row>
    <row r="24" spans="1:4" x14ac:dyDescent="0.2">
      <c r="B24" t="s">
        <v>22</v>
      </c>
      <c r="C24" s="4">
        <f>INT(C21*256+0.5)</f>
        <v>2380</v>
      </c>
      <c r="D24" t="s">
        <v>23</v>
      </c>
    </row>
    <row r="25" spans="1:4" x14ac:dyDescent="0.2">
      <c r="B25" t="s">
        <v>24</v>
      </c>
      <c r="C25" s="4">
        <f t="shared" ref="C25:C26" si="0">INT(C22*256+0.5)</f>
        <v>2346</v>
      </c>
      <c r="D25" t="s">
        <v>23</v>
      </c>
    </row>
    <row r="26" spans="1:4" x14ac:dyDescent="0.2">
      <c r="B26" t="s">
        <v>25</v>
      </c>
      <c r="C26" s="4">
        <f t="shared" si="0"/>
        <v>190</v>
      </c>
      <c r="D26" t="s">
        <v>23</v>
      </c>
    </row>
    <row r="27" spans="1:4" x14ac:dyDescent="0.2">
      <c r="A27" t="s">
        <v>26</v>
      </c>
    </row>
    <row r="28" spans="1:4" x14ac:dyDescent="0.2">
      <c r="B28" t="s">
        <v>29</v>
      </c>
    </row>
    <row r="29" spans="1:4" x14ac:dyDescent="0.2">
      <c r="B29" t="s">
        <v>30</v>
      </c>
    </row>
    <row r="30" spans="1:4" x14ac:dyDescent="0.2">
      <c r="B30" t="s">
        <v>27</v>
      </c>
    </row>
  </sheetData>
  <phoneticPr fontId="2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Harrison</dc:creator>
  <cp:lastModifiedBy>Wollitzer Elias - s2210306025</cp:lastModifiedBy>
  <dcterms:created xsi:type="dcterms:W3CDTF">2011-05-16T21:30:23Z</dcterms:created>
  <dcterms:modified xsi:type="dcterms:W3CDTF">2025-11-05T15:00:44Z</dcterms:modified>
</cp:coreProperties>
</file>